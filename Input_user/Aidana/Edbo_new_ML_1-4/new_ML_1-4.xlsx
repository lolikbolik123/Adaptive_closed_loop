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4"/>
  <workbookPr/>
  <mc:AlternateContent xmlns:mc="http://schemas.openxmlformats.org/markup-compatibility/2006">
    <mc:Choice Requires="x15">
      <x15ac:absPath xmlns:x15ac="http://schemas.microsoft.com/office/spreadsheetml/2010/11/ac" url="C:\Users\gimnkha\OneDrive - KAUST\Documents\GitHub\Chemspeed_KCC_area6\Input_user\Aidana\Edbo_ML_1-4\"/>
    </mc:Choice>
  </mc:AlternateContent>
  <xr:revisionPtr revIDLastSave="1" documentId="11_8FB592280145168230115804F38961929590B054" xr6:coauthVersionLast="47" xr6:coauthVersionMax="47" xr10:uidLastSave="{133CE2F1-F01B-427D-B1A3-EF292416F3C4}"/>
  <bookViews>
    <workbookView xWindow="2220" yWindow="1760" windowWidth="14400" windowHeight="966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7" i="1" l="1"/>
  <c r="AA7" i="1"/>
  <c r="R7" i="1"/>
  <c r="J7" i="1"/>
  <c r="AK6" i="1"/>
  <c r="AA6" i="1"/>
  <c r="R6" i="1"/>
  <c r="J6" i="1"/>
  <c r="AK5" i="1"/>
  <c r="AA5" i="1"/>
  <c r="R5" i="1"/>
  <c r="J5" i="1"/>
  <c r="AK4" i="1"/>
  <c r="AA4" i="1"/>
  <c r="R4" i="1"/>
  <c r="J4" i="1"/>
  <c r="AK3" i="1"/>
  <c r="AA3" i="1"/>
  <c r="R3" i="1"/>
  <c r="J3" i="1"/>
  <c r="AK2" i="1"/>
  <c r="AA2" i="1"/>
  <c r="R2" i="1"/>
  <c r="J2" i="1"/>
</calcChain>
</file>

<file path=xl/sharedStrings.xml><?xml version="1.0" encoding="utf-8"?>
<sst xmlns="http://schemas.openxmlformats.org/spreadsheetml/2006/main" count="155" uniqueCount="82">
  <si>
    <t>Objective</t>
  </si>
  <si>
    <t>Processing_method</t>
  </si>
  <si>
    <t>SM1</t>
  </si>
  <si>
    <t>SM1_State</t>
  </si>
  <si>
    <t>SM1_Purity</t>
  </si>
  <si>
    <t>SM1_Solvent</t>
  </si>
  <si>
    <t>SM1 Concentration (M)</t>
  </si>
  <si>
    <t>SM1 Weight Percentage (%)</t>
  </si>
  <si>
    <t>SM1_Tool</t>
  </si>
  <si>
    <t>SM1_Extended</t>
  </si>
  <si>
    <t>sulfonyl_fluoride</t>
  </si>
  <si>
    <t>sulfonyl_fluoride_State</t>
  </si>
  <si>
    <t>sulfonyl_fluoride_Purity</t>
  </si>
  <si>
    <t>sulfonyl_fluoride_Solvent</t>
  </si>
  <si>
    <t>sulfonyl_fluoride Concentration (M)</t>
  </si>
  <si>
    <t>sulfonyl_fluoride Weight Percentage (%)</t>
  </si>
  <si>
    <t>sulfonyl_fluoride_Tool</t>
  </si>
  <si>
    <t>sulfonyl_fluoride_Extended</t>
  </si>
  <si>
    <t>ligand</t>
  </si>
  <si>
    <t>base</t>
  </si>
  <si>
    <t>base_State</t>
  </si>
  <si>
    <t>base_Purity</t>
  </si>
  <si>
    <t>base_Solvent</t>
  </si>
  <si>
    <t>base Concentration (M)</t>
  </si>
  <si>
    <t>base Weight Percentage (%)</t>
  </si>
  <si>
    <t>base_Tool</t>
  </si>
  <si>
    <t>base_Extended</t>
  </si>
  <si>
    <t>additive</t>
  </si>
  <si>
    <t>Internal standard</t>
  </si>
  <si>
    <t>solvent</t>
  </si>
  <si>
    <t>solvent_State</t>
  </si>
  <si>
    <t>solvent_Purity</t>
  </si>
  <si>
    <t>solvent_Solvent</t>
  </si>
  <si>
    <t>solvent Concentration (M)</t>
  </si>
  <si>
    <t>solvent Weight Percentage (%)</t>
  </si>
  <si>
    <t>solvent_Tool</t>
  </si>
  <si>
    <t>solvent_Extended</t>
  </si>
  <si>
    <t>reaction scale (mmol)</t>
  </si>
  <si>
    <t>SM1 equivalent</t>
  </si>
  <si>
    <t>sulfonyl_fluoride equivalent</t>
  </si>
  <si>
    <t>base equivalent</t>
  </si>
  <si>
    <t>additive equivalent</t>
  </si>
  <si>
    <t>metal salt equivalent</t>
  </si>
  <si>
    <t>Internal standard equivalent</t>
  </si>
  <si>
    <t>ligand equivalent</t>
  </si>
  <si>
    <t>solvent amount (ml)</t>
  </si>
  <si>
    <t>Temperature (C )</t>
  </si>
  <si>
    <t>pressure (bar)</t>
  </si>
  <si>
    <t>time (h)</t>
  </si>
  <si>
    <t>Wavelength</t>
  </si>
  <si>
    <t>processing_3360-41-6</t>
  </si>
  <si>
    <t>3360-41-6</t>
  </si>
  <si>
    <t>Liquid</t>
  </si>
  <si>
    <t>Stock</t>
  </si>
  <si>
    <t>TOL</t>
  </si>
  <si>
    <t>4NH</t>
  </si>
  <si>
    <t>455-16-3</t>
  </si>
  <si>
    <t>121-44-8</t>
  </si>
  <si>
    <t>dodecane_0.2M</t>
  </si>
  <si>
    <t>108-88-3</t>
  </si>
  <si>
    <t>Pure</t>
  </si>
  <si>
    <t>XXX</t>
  </si>
  <si>
    <t>processing_395-23-3</t>
  </si>
  <si>
    <t>395-23-3</t>
  </si>
  <si>
    <t>368-43-4</t>
  </si>
  <si>
    <t>123-75-1</t>
  </si>
  <si>
    <t>109-99-9</t>
  </si>
  <si>
    <t>processing_18457-55-1</t>
  </si>
  <si>
    <t>18457-55-1</t>
  </si>
  <si>
    <t>349-89-3</t>
  </si>
  <si>
    <t>6674-22-2</t>
  </si>
  <si>
    <t>98-08-8</t>
  </si>
  <si>
    <t>processing_7228-47-9</t>
  </si>
  <si>
    <t>7228-47-9</t>
  </si>
  <si>
    <t>THF</t>
  </si>
  <si>
    <t>349-96-2</t>
  </si>
  <si>
    <t>29166-72-1</t>
  </si>
  <si>
    <t>67-68-5</t>
  </si>
  <si>
    <t>329-98-6</t>
  </si>
  <si>
    <t>5807-14-7</t>
  </si>
  <si>
    <t>68-12-2</t>
  </si>
  <si>
    <t>878376-35-3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</si>
</sst>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0"/>
  <sheetViews>
    <sheetView tabSelected="1" workbookViewId="0">
      <selection activeCell="B2" sqref="B2"/>
    </sheetView>
  </sheetViews>
  <sheetFormatPr defaultColWidth="8.85546875" defaultRowHeight="14.45"/>
  <cols>
    <col min="1" max="1" width="11" customWidth="1"/>
    <col min="2" max="2" width="19" customWidth="1"/>
    <col min="3" max="3" width="12" customWidth="1"/>
    <col min="4" max="4" width="11" customWidth="1"/>
    <col min="5" max="5" width="12" customWidth="1"/>
    <col min="6" max="6" width="13" customWidth="1"/>
    <col min="7" max="7" width="23" customWidth="1"/>
    <col min="8" max="8" width="27" customWidth="1"/>
    <col min="9" max="9" width="10" customWidth="1"/>
    <col min="10" max="10" width="30" customWidth="1"/>
    <col min="11" max="11" width="19" customWidth="1"/>
    <col min="12" max="12" width="25" customWidth="1"/>
    <col min="13" max="13" width="26" customWidth="1"/>
    <col min="14" max="14" width="27" customWidth="1"/>
    <col min="15" max="15" width="37" customWidth="1"/>
    <col min="16" max="16" width="41" customWidth="1"/>
    <col min="17" max="17" width="24" customWidth="1"/>
    <col min="18" max="18" width="30" customWidth="1"/>
    <col min="19" max="19" width="8" customWidth="1"/>
    <col min="20" max="21" width="12" customWidth="1"/>
    <col min="22" max="22" width="13" customWidth="1"/>
    <col min="23" max="23" width="14" customWidth="1"/>
    <col min="24" max="24" width="24" customWidth="1"/>
    <col min="25" max="25" width="28" customWidth="1"/>
    <col min="26" max="26" width="11" customWidth="1"/>
    <col min="27" max="27" width="30" customWidth="1"/>
    <col min="28" max="28" width="10" customWidth="1"/>
    <col min="29" max="29" width="19" customWidth="1"/>
    <col min="30" max="30" width="10" customWidth="1"/>
    <col min="31" max="31" width="15" customWidth="1"/>
    <col min="32" max="32" width="16" customWidth="1"/>
    <col min="33" max="33" width="17" customWidth="1"/>
    <col min="34" max="34" width="27" customWidth="1"/>
    <col min="35" max="35" width="31" customWidth="1"/>
    <col min="36" max="36" width="14" customWidth="1"/>
    <col min="37" max="37" width="30" customWidth="1"/>
    <col min="38" max="38" width="23" customWidth="1"/>
    <col min="39" max="39" width="16" customWidth="1"/>
    <col min="40" max="40" width="30" customWidth="1"/>
    <col min="41" max="41" width="17" customWidth="1"/>
    <col min="42" max="42" width="21" customWidth="1"/>
    <col min="43" max="43" width="23" customWidth="1"/>
    <col min="44" max="44" width="30" customWidth="1"/>
    <col min="45" max="45" width="19" customWidth="1"/>
    <col min="46" max="46" width="21" customWidth="1"/>
    <col min="47" max="47" width="18" customWidth="1"/>
    <col min="48" max="48" width="16" customWidth="1"/>
    <col min="49" max="49" width="10" customWidth="1"/>
    <col min="50" max="50" width="12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t="30.75">
      <c r="A2" s="2">
        <v>1</v>
      </c>
      <c r="B2" s="3" t="s">
        <v>50</v>
      </c>
      <c r="C2" t="s">
        <v>51</v>
      </c>
      <c r="D2" s="2" t="s">
        <v>52</v>
      </c>
      <c r="E2" s="2" t="s">
        <v>53</v>
      </c>
      <c r="F2" s="2" t="s">
        <v>54</v>
      </c>
      <c r="G2" s="2">
        <v>1</v>
      </c>
      <c r="H2" s="2">
        <v>0</v>
      </c>
      <c r="I2" s="2" t="s">
        <v>55</v>
      </c>
      <c r="J2" s="2" t="str">
        <f t="shared" ref="J2:J7" si="0">IF(C2&lt;&gt;"", C2 &amp; IF(D2="Solid", "_S", "_L") &amp; IF(E2="Pure", "_P", "_S") &amp; IF(AND(E2="Stock", F2&lt;&gt;""), "_" &amp; F2, "") &amp; IF(AND(E2="Stock", D2="Solid", H2&lt;&gt;""), "_" &amp; TEXT(H2, "000") &amp; "%", "") &amp; IF(AND(E2="Stock", D2="Liquid", G2&lt;&gt;""), "_" &amp; TEXT(G2, "00.00") &amp; "M", "") &amp; "_" &amp; I2, "")</f>
        <v>3360-41-6_L_S_TOL_01.00M_4NH</v>
      </c>
      <c r="K2" s="2" t="s">
        <v>56</v>
      </c>
      <c r="L2" s="2" t="s">
        <v>52</v>
      </c>
      <c r="M2" s="2" t="s">
        <v>53</v>
      </c>
      <c r="N2" s="2" t="s">
        <v>54</v>
      </c>
      <c r="O2" s="2">
        <v>1</v>
      </c>
      <c r="P2" s="2">
        <v>0</v>
      </c>
      <c r="Q2" s="2" t="s">
        <v>55</v>
      </c>
      <c r="R2" s="2" t="str">
        <f t="shared" ref="R2:R7" si="1">IF(K2&lt;&gt;"", K2 &amp; IF(L2="Solid", "_S", "_L") &amp; IF(M2="Pure", "_P", "_S") &amp; IF(AND(M2="Stock", N2&lt;&gt;""), "_" &amp; N2, "") &amp; IF(AND(M2="Stock", L2="Solid", P2&lt;&gt;""), "_" &amp; TEXT(P2, "000") &amp; "%", "") &amp; IF(AND(M2="Stock", L2="Liquid", O2&lt;&gt;""), "_" &amp; TEXT(O2, "00.00") &amp; "M", "") &amp; "_" &amp; Q2, "")</f>
        <v>455-16-3_L_S_TOL_01.00M_4NH</v>
      </c>
      <c r="S2" s="2"/>
      <c r="T2" s="2" t="s">
        <v>57</v>
      </c>
      <c r="U2" s="2" t="s">
        <v>52</v>
      </c>
      <c r="V2" s="2" t="s">
        <v>53</v>
      </c>
      <c r="W2" s="2" t="s">
        <v>54</v>
      </c>
      <c r="X2" s="2">
        <v>2</v>
      </c>
      <c r="Y2" s="2">
        <v>0</v>
      </c>
      <c r="Z2" s="2" t="s">
        <v>55</v>
      </c>
      <c r="AA2" s="2" t="str">
        <f t="shared" ref="AA2:AA7" si="2">IF(T2&lt;&gt;"", T2 &amp; IF(U2="Solid", "_S", "_L") &amp; IF(V2="Pure", "_P", "_S") &amp; IF(AND(V2="Stock", W2&lt;&gt;""), "_" &amp; W2, "") &amp; IF(AND(V2="Stock", U2="Solid", Y2&lt;&gt;""), "_" &amp; TEXT(Y2, "000") &amp; "%", "") &amp; IF(AND(V2="Stock", U2="Liquid", X2&lt;&gt;""), "_" &amp; TEXT(X2, "00.00") &amp; "M", "") &amp; "_" &amp; Z2, "")</f>
        <v>121-44-8_L_S_TOL_02.00M_4NH</v>
      </c>
      <c r="AB2" s="2"/>
      <c r="AC2" s="2" t="s">
        <v>58</v>
      </c>
      <c r="AD2" s="2" t="s">
        <v>59</v>
      </c>
      <c r="AE2" s="2" t="s">
        <v>52</v>
      </c>
      <c r="AF2" s="2" t="s">
        <v>60</v>
      </c>
      <c r="AG2" s="2" t="s">
        <v>61</v>
      </c>
      <c r="AH2" s="2">
        <v>0</v>
      </c>
      <c r="AI2" s="2">
        <v>0</v>
      </c>
      <c r="AJ2" s="2" t="s">
        <v>55</v>
      </c>
      <c r="AK2" s="2" t="str">
        <f t="shared" ref="AK2:AK7" si="3">IF(AD2&lt;&gt;"", AD2 &amp; IF(AE2="Solid", "_S", "_L") &amp; IF(AF2="Pure", "_P", "_S") &amp; IF(AND(AF2="Stock", AG2&lt;&gt;""), "_" &amp; AG2, "") &amp; IF(AND(AF2="Stock", AE2="Solid", AI2&lt;&gt;""), "_" &amp; TEXT(AI2, "000") &amp; "%", "") &amp; IF(AND(AF2="Stock", AE2="Liquid", AH2&lt;&gt;""), "_" &amp; TEXT(AH2, "00.00") &amp; "M", "") &amp; "_" &amp; AJ2, "")</f>
        <v>108-88-3_L_P_4NH</v>
      </c>
      <c r="AL2" s="2">
        <v>0.1</v>
      </c>
      <c r="AM2" s="2">
        <v>1</v>
      </c>
      <c r="AN2" s="2">
        <v>1.1000000000000001</v>
      </c>
      <c r="AO2" s="2">
        <v>1.9</v>
      </c>
      <c r="AP2" s="2"/>
      <c r="AQ2" s="2"/>
      <c r="AR2" s="2">
        <v>1</v>
      </c>
      <c r="AS2" s="2"/>
      <c r="AT2" s="2">
        <v>1</v>
      </c>
      <c r="AU2" s="2">
        <v>25</v>
      </c>
      <c r="AV2" s="2"/>
      <c r="AW2" s="2">
        <v>24</v>
      </c>
      <c r="AX2" s="2"/>
    </row>
    <row r="3" spans="1:50">
      <c r="A3" s="2">
        <v>1</v>
      </c>
      <c r="B3" t="s">
        <v>62</v>
      </c>
      <c r="C3" t="s">
        <v>63</v>
      </c>
      <c r="D3" s="2" t="s">
        <v>52</v>
      </c>
      <c r="E3" s="2" t="s">
        <v>53</v>
      </c>
      <c r="F3" s="2" t="s">
        <v>54</v>
      </c>
      <c r="G3" s="2">
        <v>1</v>
      </c>
      <c r="H3" s="2">
        <v>0</v>
      </c>
      <c r="I3" s="2" t="s">
        <v>55</v>
      </c>
      <c r="J3" s="2" t="str">
        <f t="shared" si="0"/>
        <v>395-23-3_L_S_TOL_01.00M_4NH</v>
      </c>
      <c r="K3" s="2" t="s">
        <v>64</v>
      </c>
      <c r="L3" s="2" t="s">
        <v>52</v>
      </c>
      <c r="M3" s="2" t="s">
        <v>53</v>
      </c>
      <c r="N3" s="2" t="s">
        <v>54</v>
      </c>
      <c r="O3" s="2">
        <v>1</v>
      </c>
      <c r="P3" s="2">
        <v>0</v>
      </c>
      <c r="Q3" s="2" t="s">
        <v>55</v>
      </c>
      <c r="R3" s="2" t="str">
        <f t="shared" si="1"/>
        <v>368-43-4_L_S_TOL_01.00M_4NH</v>
      </c>
      <c r="S3" s="2"/>
      <c r="T3" s="2" t="s">
        <v>65</v>
      </c>
      <c r="U3" s="2" t="s">
        <v>52</v>
      </c>
      <c r="V3" s="2" t="s">
        <v>53</v>
      </c>
      <c r="W3" s="2" t="s">
        <v>54</v>
      </c>
      <c r="X3" s="2">
        <v>2</v>
      </c>
      <c r="Y3" s="2">
        <v>0</v>
      </c>
      <c r="Z3" s="2" t="s">
        <v>55</v>
      </c>
      <c r="AA3" s="2" t="str">
        <f t="shared" si="2"/>
        <v>123-75-1_L_S_TOL_02.00M_4NH</v>
      </c>
      <c r="AB3" s="2"/>
      <c r="AC3" s="2"/>
      <c r="AD3" s="2" t="s">
        <v>66</v>
      </c>
      <c r="AE3" s="2" t="s">
        <v>52</v>
      </c>
      <c r="AF3" s="2" t="s">
        <v>60</v>
      </c>
      <c r="AG3" s="2" t="s">
        <v>61</v>
      </c>
      <c r="AH3" s="2">
        <v>0</v>
      </c>
      <c r="AI3" s="2">
        <v>0</v>
      </c>
      <c r="AJ3" s="2" t="s">
        <v>55</v>
      </c>
      <c r="AK3" s="2" t="str">
        <f t="shared" si="3"/>
        <v>109-99-9_L_P_4NH</v>
      </c>
      <c r="AL3" s="2"/>
      <c r="AM3" s="2"/>
      <c r="AN3" s="2">
        <v>1.3</v>
      </c>
      <c r="AO3" s="2"/>
      <c r="AP3" s="2"/>
      <c r="AQ3" s="2"/>
      <c r="AR3" s="2"/>
      <c r="AS3" s="2"/>
      <c r="AT3" s="2">
        <v>0.5</v>
      </c>
      <c r="AU3" s="2"/>
      <c r="AV3" s="2"/>
      <c r="AW3" s="2"/>
      <c r="AX3" s="2"/>
    </row>
    <row r="4" spans="1:50">
      <c r="A4" s="2">
        <v>1</v>
      </c>
      <c r="B4" t="s">
        <v>67</v>
      </c>
      <c r="C4" t="s">
        <v>68</v>
      </c>
      <c r="D4" s="2" t="s">
        <v>52</v>
      </c>
      <c r="E4" s="2" t="s">
        <v>53</v>
      </c>
      <c r="F4" s="2" t="s">
        <v>54</v>
      </c>
      <c r="G4" s="2">
        <v>1</v>
      </c>
      <c r="H4" s="2">
        <v>0</v>
      </c>
      <c r="I4" s="2" t="s">
        <v>55</v>
      </c>
      <c r="J4" s="2" t="str">
        <f t="shared" si="0"/>
        <v>18457-55-1_L_S_TOL_01.00M_4NH</v>
      </c>
      <c r="K4" s="2" t="s">
        <v>69</v>
      </c>
      <c r="L4" s="2" t="s">
        <v>52</v>
      </c>
      <c r="M4" s="2" t="s">
        <v>53</v>
      </c>
      <c r="N4" s="2" t="s">
        <v>54</v>
      </c>
      <c r="O4" s="2">
        <v>1</v>
      </c>
      <c r="P4" s="2">
        <v>0</v>
      </c>
      <c r="Q4" s="2" t="s">
        <v>55</v>
      </c>
      <c r="R4" s="2" t="str">
        <f t="shared" si="1"/>
        <v>349-89-3_L_S_TOL_01.00M_4NH</v>
      </c>
      <c r="S4" s="2"/>
      <c r="T4" s="2" t="s">
        <v>70</v>
      </c>
      <c r="U4" s="2" t="s">
        <v>52</v>
      </c>
      <c r="V4" s="2" t="s">
        <v>53</v>
      </c>
      <c r="W4" s="2" t="s">
        <v>54</v>
      </c>
      <c r="X4" s="2">
        <v>2</v>
      </c>
      <c r="Y4" s="2">
        <v>0</v>
      </c>
      <c r="Z4" s="2" t="s">
        <v>55</v>
      </c>
      <c r="AA4" s="2" t="str">
        <f t="shared" si="2"/>
        <v>6674-22-2_L_S_TOL_02.00M_4NH</v>
      </c>
      <c r="AB4" s="2"/>
      <c r="AC4" s="2"/>
      <c r="AD4" s="2" t="s">
        <v>71</v>
      </c>
      <c r="AE4" s="2" t="s">
        <v>52</v>
      </c>
      <c r="AF4" s="2" t="s">
        <v>60</v>
      </c>
      <c r="AG4" s="2" t="s">
        <v>61</v>
      </c>
      <c r="AH4" s="2">
        <v>0</v>
      </c>
      <c r="AI4" s="2">
        <v>0</v>
      </c>
      <c r="AJ4" s="2" t="s">
        <v>55</v>
      </c>
      <c r="AK4" s="2" t="str">
        <f t="shared" si="3"/>
        <v>98-08-8_L_P_4NH</v>
      </c>
      <c r="AL4" s="2"/>
      <c r="AM4" s="2"/>
      <c r="AN4" s="2">
        <v>1.5</v>
      </c>
      <c r="AO4" s="2"/>
      <c r="AP4" s="2"/>
      <c r="AQ4" s="2"/>
      <c r="AR4" s="2"/>
      <c r="AS4" s="2"/>
      <c r="AT4" s="2">
        <v>0.33</v>
      </c>
      <c r="AU4" s="2"/>
      <c r="AV4" s="2"/>
      <c r="AW4" s="2"/>
      <c r="AX4" s="2"/>
    </row>
    <row r="5" spans="1:50">
      <c r="A5" s="2">
        <v>1</v>
      </c>
      <c r="B5" t="s">
        <v>72</v>
      </c>
      <c r="C5" t="s">
        <v>73</v>
      </c>
      <c r="D5" s="2" t="s">
        <v>52</v>
      </c>
      <c r="E5" s="2" t="s">
        <v>53</v>
      </c>
      <c r="F5" s="2" t="s">
        <v>74</v>
      </c>
      <c r="G5" s="2">
        <v>1</v>
      </c>
      <c r="H5" s="2">
        <v>0</v>
      </c>
      <c r="I5" s="2" t="s">
        <v>55</v>
      </c>
      <c r="J5" s="2" t="str">
        <f t="shared" si="0"/>
        <v>7228-47-9_L_S_THF_01.00M_4NH</v>
      </c>
      <c r="K5" s="2" t="s">
        <v>75</v>
      </c>
      <c r="L5" s="2" t="s">
        <v>52</v>
      </c>
      <c r="M5" s="2" t="s">
        <v>53</v>
      </c>
      <c r="N5" s="2" t="s">
        <v>54</v>
      </c>
      <c r="O5" s="2">
        <v>1</v>
      </c>
      <c r="P5" s="2">
        <v>0</v>
      </c>
      <c r="Q5" s="2" t="s">
        <v>55</v>
      </c>
      <c r="R5" s="2" t="str">
        <f t="shared" si="1"/>
        <v>349-96-2_L_S_TOL_01.00M_4NH</v>
      </c>
      <c r="S5" s="2"/>
      <c r="T5" s="2" t="s">
        <v>76</v>
      </c>
      <c r="U5" s="2" t="s">
        <v>52</v>
      </c>
      <c r="V5" s="2" t="s">
        <v>53</v>
      </c>
      <c r="W5" s="2" t="s">
        <v>54</v>
      </c>
      <c r="X5" s="2">
        <v>2</v>
      </c>
      <c r="Y5" s="2">
        <v>0</v>
      </c>
      <c r="Z5" s="2" t="s">
        <v>55</v>
      </c>
      <c r="AA5" s="2" t="str">
        <f t="shared" si="2"/>
        <v>29166-72-1_L_S_TOL_02.00M_4NH</v>
      </c>
      <c r="AB5" s="2"/>
      <c r="AC5" s="2"/>
      <c r="AD5" s="2" t="s">
        <v>77</v>
      </c>
      <c r="AE5" s="2" t="s">
        <v>52</v>
      </c>
      <c r="AF5" s="2" t="s">
        <v>60</v>
      </c>
      <c r="AG5" s="2" t="s">
        <v>61</v>
      </c>
      <c r="AH5" s="2">
        <v>0</v>
      </c>
      <c r="AI5" s="2">
        <v>0</v>
      </c>
      <c r="AJ5" s="2" t="s">
        <v>55</v>
      </c>
      <c r="AK5" s="2" t="str">
        <f t="shared" si="3"/>
        <v>67-68-5_L_P_4NH</v>
      </c>
      <c r="AL5" s="2"/>
      <c r="AM5" s="2"/>
      <c r="AN5" s="2">
        <v>1.7</v>
      </c>
      <c r="AO5" s="2"/>
      <c r="AP5" s="2"/>
      <c r="AQ5" s="2"/>
      <c r="AR5" s="2"/>
      <c r="AS5" s="2"/>
      <c r="AT5" s="2">
        <v>0.25</v>
      </c>
      <c r="AU5" s="2"/>
      <c r="AV5" s="2"/>
      <c r="AW5" s="2"/>
      <c r="AX5" s="2"/>
    </row>
    <row r="6" spans="1:50">
      <c r="A6" s="2"/>
      <c r="D6" s="2"/>
      <c r="E6" s="2"/>
      <c r="F6" s="2"/>
      <c r="G6" s="2"/>
      <c r="H6" s="2"/>
      <c r="I6" s="2"/>
      <c r="J6" s="2" t="str">
        <f t="shared" si="0"/>
        <v/>
      </c>
      <c r="K6" s="2" t="s">
        <v>78</v>
      </c>
      <c r="L6" s="2" t="s">
        <v>52</v>
      </c>
      <c r="M6" s="2" t="s">
        <v>53</v>
      </c>
      <c r="N6" s="2" t="s">
        <v>54</v>
      </c>
      <c r="O6" s="2">
        <v>1</v>
      </c>
      <c r="P6" s="2">
        <v>0</v>
      </c>
      <c r="Q6" s="2" t="s">
        <v>55</v>
      </c>
      <c r="R6" s="2" t="str">
        <f t="shared" si="1"/>
        <v>329-98-6_L_S_TOL_01.00M_4NH</v>
      </c>
      <c r="S6" s="2"/>
      <c r="T6" s="2" t="s">
        <v>79</v>
      </c>
      <c r="U6" s="2" t="s">
        <v>52</v>
      </c>
      <c r="V6" s="2" t="s">
        <v>53</v>
      </c>
      <c r="W6" s="2" t="s">
        <v>54</v>
      </c>
      <c r="X6" s="2">
        <v>1.5</v>
      </c>
      <c r="Y6" s="2">
        <v>0</v>
      </c>
      <c r="Z6" s="2" t="s">
        <v>55</v>
      </c>
      <c r="AA6" s="2" t="str">
        <f t="shared" si="2"/>
        <v>5807-14-7_L_S_TOL_01.50M_4NH</v>
      </c>
      <c r="AB6" s="2"/>
      <c r="AC6" s="2"/>
      <c r="AD6" s="2" t="s">
        <v>80</v>
      </c>
      <c r="AE6" s="2" t="s">
        <v>52</v>
      </c>
      <c r="AF6" s="2" t="s">
        <v>60</v>
      </c>
      <c r="AG6" s="2" t="s">
        <v>61</v>
      </c>
      <c r="AH6" s="2">
        <v>0</v>
      </c>
      <c r="AI6" s="2">
        <v>0</v>
      </c>
      <c r="AJ6" s="2" t="s">
        <v>55</v>
      </c>
      <c r="AK6" s="2" t="str">
        <f t="shared" si="3"/>
        <v>68-12-2_L_P_4NH</v>
      </c>
      <c r="AL6" s="2"/>
      <c r="AM6" s="2"/>
      <c r="AN6" s="2">
        <v>1.9</v>
      </c>
      <c r="AO6" s="2"/>
      <c r="AP6" s="2"/>
      <c r="AQ6" s="2"/>
      <c r="AR6" s="2"/>
      <c r="AS6" s="2"/>
      <c r="AT6" s="2">
        <v>0.2</v>
      </c>
      <c r="AU6" s="2"/>
      <c r="AV6" s="2"/>
      <c r="AW6" s="2"/>
      <c r="AX6" s="2"/>
    </row>
    <row r="7" spans="1:50">
      <c r="A7" s="2"/>
      <c r="D7" s="2"/>
      <c r="E7" s="2"/>
      <c r="F7" s="2"/>
      <c r="G7" s="2"/>
      <c r="H7" s="2"/>
      <c r="I7" s="2"/>
      <c r="J7" s="2" t="str">
        <f t="shared" si="0"/>
        <v/>
      </c>
      <c r="K7" s="2" t="s">
        <v>81</v>
      </c>
      <c r="L7" s="2" t="s">
        <v>52</v>
      </c>
      <c r="M7" s="2" t="s">
        <v>53</v>
      </c>
      <c r="N7" s="2" t="s">
        <v>54</v>
      </c>
      <c r="O7" s="2">
        <v>1</v>
      </c>
      <c r="P7" s="2">
        <v>0</v>
      </c>
      <c r="Q7" s="2" t="s">
        <v>55</v>
      </c>
      <c r="R7" s="2" t="str">
        <f t="shared" si="1"/>
        <v>878376-35-3_L_S_TOL_01.00M_4NH</v>
      </c>
      <c r="S7" s="2"/>
      <c r="T7" s="2"/>
      <c r="U7" s="2"/>
      <c r="V7" s="2"/>
      <c r="W7" s="2"/>
      <c r="X7" s="2"/>
      <c r="Y7" s="2"/>
      <c r="Z7" s="2"/>
      <c r="AA7" s="2" t="str">
        <f t="shared" si="2"/>
        <v/>
      </c>
      <c r="AB7" s="2"/>
      <c r="AC7" s="2"/>
      <c r="AD7" s="2"/>
      <c r="AE7" s="2"/>
      <c r="AF7" s="2"/>
      <c r="AG7" s="2"/>
      <c r="AH7" s="2"/>
      <c r="AI7" s="2"/>
      <c r="AJ7" s="2"/>
      <c r="AK7" s="2" t="str">
        <f t="shared" si="3"/>
        <v/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10" spans="1:50">
      <c r="C10" s="2"/>
    </row>
  </sheetData>
  <dataValidations count="3">
    <dataValidation type="list" allowBlank="1" sqref="L2:L7 AE2:AE7 U2:U7 D2:D7" xr:uid="{00000000-0002-0000-0000-000000000000}">
      <formula1>"Solid,Liquid"</formula1>
    </dataValidation>
    <dataValidation type="list" allowBlank="1" sqref="M2:M7 AF2:AF7 V2:V7 E2:E7" xr:uid="{00000000-0002-0000-0000-000001000000}">
      <formula1>"Pure,Stock"</formula1>
    </dataValidation>
    <dataValidation type="list" allowBlank="1" sqref="Q2:Q7 AJ2:AJ7 Z2:Z7 I2:I7" xr:uid="{00000000-0002-0000-0000-000002000000}">
      <formula1>"GDU-S,GDU-PFD,GDU-V,4NH"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9460B2056F3747A683A17E76C7BA65" ma:contentTypeVersion="13" ma:contentTypeDescription="Create a new document." ma:contentTypeScope="" ma:versionID="fc73602e3124f2729a8a8d3e68452a21">
  <xsd:schema xmlns:xsd="http://www.w3.org/2001/XMLSchema" xmlns:xs="http://www.w3.org/2001/XMLSchema" xmlns:p="http://schemas.microsoft.com/office/2006/metadata/properties" xmlns:ns2="a96bd247-6986-46ba-ac6d-edea06163958" xmlns:ns3="816be00a-bfb8-42af-af5c-b3074c7dbf08" targetNamespace="http://schemas.microsoft.com/office/2006/metadata/properties" ma:root="true" ma:fieldsID="ce6120da406421fa4f8f0d184a0515f3" ns2:_="" ns3:_="">
    <xsd:import namespace="a96bd247-6986-46ba-ac6d-edea06163958"/>
    <xsd:import namespace="816be00a-bfb8-42af-af5c-b3074c7dbf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bd247-6986-46ba-ac6d-edea06163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e458e5a-d47b-49a8-9671-a3f77673f1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be00a-bfb8-42af-af5c-b3074c7dbf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1e57901-9971-4742-a424-60f7f731eed9}" ma:internalName="TaxCatchAll" ma:showField="CatchAllData" ma:web="816be00a-bfb8-42af-af5c-b3074c7dbf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6be00a-bfb8-42af-af5c-b3074c7dbf08" xsi:nil="true"/>
    <lcf76f155ced4ddcb4097134ff3c332f xmlns="a96bd247-6986-46ba-ac6d-edea061639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B5BE25-8F0F-4737-AF7C-7E1D98BDA67A}"/>
</file>

<file path=customXml/itemProps2.xml><?xml version="1.0" encoding="utf-8"?>
<ds:datastoreItem xmlns:ds="http://schemas.openxmlformats.org/officeDocument/2006/customXml" ds:itemID="{56391440-A085-47F7-A8F5-9D8B0CF7579E}"/>
</file>

<file path=customXml/itemProps3.xml><?xml version="1.0" encoding="utf-8"?>
<ds:datastoreItem xmlns:ds="http://schemas.openxmlformats.org/officeDocument/2006/customXml" ds:itemID="{52152681-46F5-474E-BC15-8C04820950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Aidana Gimnkhan</cp:lastModifiedBy>
  <cp:revision/>
  <dcterms:created xsi:type="dcterms:W3CDTF">2025-02-03T13:11:10Z</dcterms:created>
  <dcterms:modified xsi:type="dcterms:W3CDTF">2025-10-09T15:16:44Z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0x010100399460B2056F3747A683A17E76C7BA65</vt:lpwstr>
  </property>
</Properties>
</file>